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-Modes" sheetId="1" r:id="rId5"/>
  </sheets>
  <definedNames/>
  <calcPr/>
</workbook>
</file>

<file path=xl/sharedStrings.xml><?xml version="1.0" encoding="utf-8"?>
<sst xmlns="http://schemas.openxmlformats.org/spreadsheetml/2006/main" count="122" uniqueCount="48">
  <si>
    <t>Soal K-Modes</t>
  </si>
  <si>
    <t>ID</t>
  </si>
  <si>
    <t>Kendaraan</t>
  </si>
  <si>
    <t>Jenis energi</t>
  </si>
  <si>
    <t>Fungsi</t>
  </si>
  <si>
    <t>V1</t>
  </si>
  <si>
    <t>Mobil listrik</t>
  </si>
  <si>
    <t>Listrik</t>
  </si>
  <si>
    <t>Penumpang</t>
  </si>
  <si>
    <t>V2</t>
  </si>
  <si>
    <t>V3</t>
  </si>
  <si>
    <t>Mobil Listrik</t>
  </si>
  <si>
    <t>V4</t>
  </si>
  <si>
    <t>Mobil konvensional</t>
  </si>
  <si>
    <t>Bensin</t>
  </si>
  <si>
    <t>V5</t>
  </si>
  <si>
    <t>V6</t>
  </si>
  <si>
    <t>Mobil diesel</t>
  </si>
  <si>
    <t>Diesel</t>
  </si>
  <si>
    <t>V7</t>
  </si>
  <si>
    <t>Truk</t>
  </si>
  <si>
    <t>Barang</t>
  </si>
  <si>
    <t>V8</t>
  </si>
  <si>
    <t>Bus</t>
  </si>
  <si>
    <t>V9</t>
  </si>
  <si>
    <t>V10</t>
  </si>
  <si>
    <t>K = 4</t>
  </si>
  <si>
    <t>kita bagi jadi 4 Cluster</t>
  </si>
  <si>
    <t>Cluster</t>
  </si>
  <si>
    <t>Centroid awal</t>
  </si>
  <si>
    <t>Jenis kendaraan</t>
  </si>
  <si>
    <t>Energi</t>
  </si>
  <si>
    <t>C1</t>
  </si>
  <si>
    <t>C2</t>
  </si>
  <si>
    <t>C3</t>
  </si>
  <si>
    <t>C4</t>
  </si>
  <si>
    <t xml:space="preserve">Menghitung Cluster </t>
  </si>
  <si>
    <t>Mode Baru</t>
  </si>
  <si>
    <t>Centroid Baru</t>
  </si>
  <si>
    <t>V1, V2, V3</t>
  </si>
  <si>
    <t>V4, V5</t>
  </si>
  <si>
    <t>V6, V8, V10</t>
  </si>
  <si>
    <t>V7, V9</t>
  </si>
  <si>
    <t>Menghitung Cluster II</t>
  </si>
  <si>
    <t>Kesimpulan K-Modes</t>
  </si>
  <si>
    <t>Berdasarkan pengelompokan 10 kendaraan menggunakan algoritma K-Modes dengan jumlah cluster (K=4), diperoleh empat kelompok kendaraan berdasarkan kemiripan jenis kendaraan, sumber energi, dan fungsi penggunaannya.</t>
  </si>
  <si>
    <t>Cluster 1 terdiri atas V1, V2, dan V3 dengan mode Mobil listrik, Listrik, dan Penumpang. Cluster 2 terdiri atas V4 dan V5 dengan mode Mobil konvensional, Bensin, dan Penumpang. Cluster 3 terdiri atas V6, V8, dan V10 dengan mode Bus, Diesel, dan Penumpang. Cluster 4 terdiri atas V7 dan V9 dengan mode Truk, Diesel, dan Barang.</t>
  </si>
  <si>
    <t>Setelah mode diperbarui dan dissimilarity dihitung kembali, tidak ditemukan perubahan penempatan kendaraan. Dengan demikian, algoritma berhenti karena keanggotaan cluster telah stabil.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</si>
</sst>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sz val="10.0"/>
      <color theme="1"/>
      <name val="Arial"/>
      <scheme val="minor"/>
    </font>
    <font>
      <b/>
      <sz val="14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horizontal="center" readingOrder="0"/>
    </xf>
    <xf borderId="0" fillId="0" fontId="1" numFmtId="0" xfId="0" applyFont="1"/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vertical="bottom"/>
    </xf>
    <xf borderId="0" fillId="3" fontId="3" numFmtId="0" xfId="0" applyAlignment="1" applyFill="1" applyFont="1">
      <alignment horizontal="center" vertical="bottom"/>
    </xf>
    <xf borderId="0" fillId="0" fontId="2" numFmtId="0" xfId="0" applyFont="1"/>
    <xf borderId="0" fillId="3" fontId="2" numFmtId="0" xfId="0" applyAlignment="1" applyFill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5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5.13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3"/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5" t="s">
        <v>5</v>
      </c>
      <c r="B3" s="5" t="s">
        <v>6</v>
      </c>
      <c r="C3" s="5" t="s">
        <v>7</v>
      </c>
      <c r="D3" s="5" t="s">
        <v>8</v>
      </c>
    </row>
    <row r="4">
      <c r="A4" s="5" t="s">
        <v>9</v>
      </c>
      <c r="B4" s="5" t="s">
        <v>6</v>
      </c>
      <c r="C4" s="5" t="s">
        <v>7</v>
      </c>
      <c r="D4" s="5" t="s">
        <v>8</v>
      </c>
    </row>
    <row r="5">
      <c r="A5" s="5" t="s">
        <v>10</v>
      </c>
      <c r="B5" s="5" t="s">
        <v>11</v>
      </c>
      <c r="C5" s="5" t="s">
        <v>7</v>
      </c>
      <c r="D5" s="5" t="s">
        <v>8</v>
      </c>
    </row>
    <row r="6">
      <c r="A6" s="5" t="s">
        <v>12</v>
      </c>
      <c r="B6" s="5" t="s">
        <v>13</v>
      </c>
      <c r="C6" s="5" t="s">
        <v>14</v>
      </c>
      <c r="D6" s="5" t="s">
        <v>8</v>
      </c>
    </row>
    <row r="7">
      <c r="A7" s="5" t="s">
        <v>15</v>
      </c>
      <c r="B7" s="5" t="s">
        <v>13</v>
      </c>
      <c r="C7" s="5" t="s">
        <v>14</v>
      </c>
      <c r="D7" s="5" t="s">
        <v>8</v>
      </c>
    </row>
    <row r="8">
      <c r="A8" s="5" t="s">
        <v>16</v>
      </c>
      <c r="B8" s="5" t="s">
        <v>17</v>
      </c>
      <c r="C8" s="5" t="s">
        <v>18</v>
      </c>
      <c r="D8" s="5" t="s">
        <v>8</v>
      </c>
    </row>
    <row r="9">
      <c r="A9" s="5" t="s">
        <v>19</v>
      </c>
      <c r="B9" s="5" t="s">
        <v>20</v>
      </c>
      <c r="C9" s="5" t="s">
        <v>18</v>
      </c>
      <c r="D9" s="5" t="s">
        <v>21</v>
      </c>
    </row>
    <row r="10">
      <c r="A10" s="5" t="s">
        <v>22</v>
      </c>
      <c r="B10" s="5" t="s">
        <v>23</v>
      </c>
      <c r="C10" s="5" t="s">
        <v>18</v>
      </c>
      <c r="D10" s="5" t="s">
        <v>8</v>
      </c>
    </row>
    <row r="11">
      <c r="A11" s="5" t="s">
        <v>24</v>
      </c>
      <c r="B11" s="5" t="s">
        <v>20</v>
      </c>
      <c r="C11" s="5" t="s">
        <v>18</v>
      </c>
      <c r="D11" s="5" t="s">
        <v>21</v>
      </c>
    </row>
    <row r="12">
      <c r="A12" s="5" t="s">
        <v>25</v>
      </c>
      <c r="B12" s="5" t="s">
        <v>23</v>
      </c>
      <c r="C12" s="5" t="s">
        <v>18</v>
      </c>
      <c r="D12" s="5" t="s">
        <v>8</v>
      </c>
    </row>
    <row r="14">
      <c r="A14" s="6" t="s">
        <v>26</v>
      </c>
      <c r="B14" s="6" t="s">
        <v>27</v>
      </c>
      <c r="F14" s="1"/>
      <c r="G14" s="1"/>
      <c r="H14" s="1"/>
      <c r="I14" s="1"/>
      <c r="J14" s="1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7" t="s">
        <v>28</v>
      </c>
      <c r="B15" s="7" t="s">
        <v>29</v>
      </c>
      <c r="C15" s="7" t="s">
        <v>30</v>
      </c>
      <c r="D15" s="7" t="s">
        <v>31</v>
      </c>
      <c r="E15" s="7" t="s">
        <v>4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</row>
    <row r="16">
      <c r="A16" s="5" t="s">
        <v>32</v>
      </c>
      <c r="B16" s="5" t="s">
        <v>5</v>
      </c>
      <c r="C16" s="5" t="s">
        <v>6</v>
      </c>
      <c r="D16" s="5" t="s">
        <v>7</v>
      </c>
      <c r="E16" s="5" t="s">
        <v>8</v>
      </c>
    </row>
    <row r="17">
      <c r="A17" s="9" t="s">
        <v>33</v>
      </c>
      <c r="B17" s="9" t="s">
        <v>12</v>
      </c>
      <c r="C17" s="9" t="s">
        <v>13</v>
      </c>
      <c r="D17" s="9" t="s">
        <v>14</v>
      </c>
      <c r="E17" s="9" t="s">
        <v>8</v>
      </c>
    </row>
    <row r="18">
      <c r="A18" s="5" t="s">
        <v>34</v>
      </c>
      <c r="B18" s="5" t="s">
        <v>16</v>
      </c>
      <c r="C18" s="5" t="s">
        <v>17</v>
      </c>
      <c r="D18" s="5" t="s">
        <v>18</v>
      </c>
      <c r="E18" s="5" t="s">
        <v>8</v>
      </c>
    </row>
    <row r="19">
      <c r="A19" s="5" t="s">
        <v>35</v>
      </c>
      <c r="B19" s="5" t="s">
        <v>19</v>
      </c>
      <c r="C19" s="5" t="s">
        <v>20</v>
      </c>
      <c r="D19" s="5" t="s">
        <v>18</v>
      </c>
      <c r="E19" s="5" t="s">
        <v>21</v>
      </c>
    </row>
    <row r="21">
      <c r="A21" s="6" t="s">
        <v>36</v>
      </c>
    </row>
    <row r="22">
      <c r="A22" s="10" t="s">
        <v>1</v>
      </c>
      <c r="B22" s="10" t="s">
        <v>2</v>
      </c>
      <c r="C22" s="10" t="s">
        <v>31</v>
      </c>
      <c r="D22" s="10" t="s">
        <v>4</v>
      </c>
      <c r="E22" s="10" t="s">
        <v>32</v>
      </c>
      <c r="F22" s="10" t="s">
        <v>33</v>
      </c>
      <c r="G22" s="10" t="s">
        <v>34</v>
      </c>
      <c r="H22" s="10" t="s">
        <v>35</v>
      </c>
      <c r="I22" s="10" t="s">
        <v>28</v>
      </c>
    </row>
    <row r="23">
      <c r="A23" s="11" t="str">
        <f t="shared" ref="A23:D23" si="1">A3</f>
        <v>V1</v>
      </c>
      <c r="B23" s="11" t="str">
        <f t="shared" si="1"/>
        <v>Mobil listrik</v>
      </c>
      <c r="C23" s="11" t="str">
        <f t="shared" si="1"/>
        <v>Listrik</v>
      </c>
      <c r="D23" s="11" t="str">
        <f t="shared" si="1"/>
        <v>Penumpang</v>
      </c>
      <c r="E23" s="11">
        <f t="shared" ref="E23:E32" si="3">IF(B23=$C$16,0,1)+IF(C23=$D$16,0,1)+IF(D23=$E$16,0,1)</f>
        <v>0</v>
      </c>
      <c r="F23" s="11">
        <f t="shared" ref="F23:F32" si="4">IF(B23=$C$17,0,1)+IF(C23=$D$17,0,1)+IF(D23=$E$17,0,1)</f>
        <v>2</v>
      </c>
      <c r="G23" s="11">
        <f t="shared" ref="G23:G32" si="5">IF(B23=$C$18,0,1)+IF(C23=$D$18,0,1)+IF(D23=$E$18,0,1)</f>
        <v>2</v>
      </c>
      <c r="H23" s="11">
        <f t="shared" ref="H23:H32" si="6">IF(B23=$C$19,0,1)+IF(C23=$D$19,0,1)+IF(D23=$E$19,0,1)</f>
        <v>3</v>
      </c>
      <c r="I23" s="11">
        <f t="shared" ref="I23:I32" si="7">MATCH(MIN(E23:H23),E23:H23,0)</f>
        <v>1</v>
      </c>
    </row>
    <row r="24">
      <c r="A24" s="11" t="str">
        <f t="shared" ref="A24:D24" si="2">A4</f>
        <v>V2</v>
      </c>
      <c r="B24" s="11" t="str">
        <f t="shared" si="2"/>
        <v>Mobil listrik</v>
      </c>
      <c r="C24" s="11" t="str">
        <f t="shared" si="2"/>
        <v>Listrik</v>
      </c>
      <c r="D24" s="11" t="str">
        <f t="shared" si="2"/>
        <v>Penumpang</v>
      </c>
      <c r="E24" s="11">
        <f t="shared" si="3"/>
        <v>0</v>
      </c>
      <c r="F24" s="11">
        <f t="shared" si="4"/>
        <v>2</v>
      </c>
      <c r="G24" s="11">
        <f t="shared" si="5"/>
        <v>2</v>
      </c>
      <c r="H24" s="11">
        <f t="shared" si="6"/>
        <v>3</v>
      </c>
      <c r="I24" s="11">
        <f t="shared" si="7"/>
        <v>1</v>
      </c>
    </row>
    <row r="25">
      <c r="A25" s="11" t="str">
        <f t="shared" ref="A25:D25" si="8">A5</f>
        <v>V3</v>
      </c>
      <c r="B25" s="11" t="str">
        <f t="shared" si="8"/>
        <v>Mobil Listrik</v>
      </c>
      <c r="C25" s="11" t="str">
        <f t="shared" si="8"/>
        <v>Listrik</v>
      </c>
      <c r="D25" s="11" t="str">
        <f t="shared" si="8"/>
        <v>Penumpang</v>
      </c>
      <c r="E25" s="11">
        <f t="shared" si="3"/>
        <v>0</v>
      </c>
      <c r="F25" s="11">
        <f t="shared" si="4"/>
        <v>2</v>
      </c>
      <c r="G25" s="11">
        <f t="shared" si="5"/>
        <v>2</v>
      </c>
      <c r="H25" s="11">
        <f t="shared" si="6"/>
        <v>3</v>
      </c>
      <c r="I25" s="11">
        <f t="shared" si="7"/>
        <v>1</v>
      </c>
    </row>
    <row r="26">
      <c r="A26" s="11" t="str">
        <f t="shared" ref="A26:D26" si="9">A6</f>
        <v>V4</v>
      </c>
      <c r="B26" s="11" t="str">
        <f t="shared" si="9"/>
        <v>Mobil konvensional</v>
      </c>
      <c r="C26" s="11" t="str">
        <f t="shared" si="9"/>
        <v>Bensin</v>
      </c>
      <c r="D26" s="11" t="str">
        <f t="shared" si="9"/>
        <v>Penumpang</v>
      </c>
      <c r="E26" s="11">
        <f t="shared" si="3"/>
        <v>2</v>
      </c>
      <c r="F26" s="11">
        <f t="shared" si="4"/>
        <v>0</v>
      </c>
      <c r="G26" s="11">
        <f t="shared" si="5"/>
        <v>2</v>
      </c>
      <c r="H26" s="11">
        <f t="shared" si="6"/>
        <v>3</v>
      </c>
      <c r="I26" s="11">
        <f t="shared" si="7"/>
        <v>2</v>
      </c>
    </row>
    <row r="27">
      <c r="A27" s="11" t="str">
        <f t="shared" ref="A27:D27" si="10">A7</f>
        <v>V5</v>
      </c>
      <c r="B27" s="11" t="str">
        <f t="shared" si="10"/>
        <v>Mobil konvensional</v>
      </c>
      <c r="C27" s="11" t="str">
        <f t="shared" si="10"/>
        <v>Bensin</v>
      </c>
      <c r="D27" s="11" t="str">
        <f t="shared" si="10"/>
        <v>Penumpang</v>
      </c>
      <c r="E27" s="11">
        <f t="shared" si="3"/>
        <v>2</v>
      </c>
      <c r="F27" s="11">
        <f t="shared" si="4"/>
        <v>0</v>
      </c>
      <c r="G27" s="11">
        <f t="shared" si="5"/>
        <v>2</v>
      </c>
      <c r="H27" s="11">
        <f t="shared" si="6"/>
        <v>3</v>
      </c>
      <c r="I27" s="11">
        <f t="shared" si="7"/>
        <v>2</v>
      </c>
    </row>
    <row r="28">
      <c r="A28" s="11" t="str">
        <f t="shared" ref="A28:D28" si="11">A8</f>
        <v>V6</v>
      </c>
      <c r="B28" s="11" t="str">
        <f t="shared" si="11"/>
        <v>Mobil diesel</v>
      </c>
      <c r="C28" s="11" t="str">
        <f t="shared" si="11"/>
        <v>Diesel</v>
      </c>
      <c r="D28" s="11" t="str">
        <f t="shared" si="11"/>
        <v>Penumpang</v>
      </c>
      <c r="E28" s="11">
        <f t="shared" si="3"/>
        <v>2</v>
      </c>
      <c r="F28" s="11">
        <f t="shared" si="4"/>
        <v>2</v>
      </c>
      <c r="G28" s="11">
        <f t="shared" si="5"/>
        <v>0</v>
      </c>
      <c r="H28" s="11">
        <f t="shared" si="6"/>
        <v>2</v>
      </c>
      <c r="I28" s="11">
        <f t="shared" si="7"/>
        <v>3</v>
      </c>
    </row>
    <row r="29">
      <c r="A29" s="11" t="str">
        <f t="shared" ref="A29:D29" si="12">A9</f>
        <v>V7</v>
      </c>
      <c r="B29" s="11" t="str">
        <f t="shared" si="12"/>
        <v>Truk</v>
      </c>
      <c r="C29" s="11" t="str">
        <f t="shared" si="12"/>
        <v>Diesel</v>
      </c>
      <c r="D29" s="11" t="str">
        <f t="shared" si="12"/>
        <v>Barang</v>
      </c>
      <c r="E29" s="11">
        <f t="shared" si="3"/>
        <v>3</v>
      </c>
      <c r="F29" s="11">
        <f t="shared" si="4"/>
        <v>3</v>
      </c>
      <c r="G29" s="11">
        <f t="shared" si="5"/>
        <v>2</v>
      </c>
      <c r="H29" s="11">
        <f t="shared" si="6"/>
        <v>0</v>
      </c>
      <c r="I29" s="11">
        <f t="shared" si="7"/>
        <v>4</v>
      </c>
    </row>
    <row r="30">
      <c r="A30" s="11" t="str">
        <f t="shared" ref="A30:D30" si="13">A10</f>
        <v>V8</v>
      </c>
      <c r="B30" s="11" t="str">
        <f t="shared" si="13"/>
        <v>Bus</v>
      </c>
      <c r="C30" s="11" t="str">
        <f t="shared" si="13"/>
        <v>Diesel</v>
      </c>
      <c r="D30" s="11" t="str">
        <f t="shared" si="13"/>
        <v>Penumpang</v>
      </c>
      <c r="E30" s="11">
        <f t="shared" si="3"/>
        <v>2</v>
      </c>
      <c r="F30" s="11">
        <f t="shared" si="4"/>
        <v>2</v>
      </c>
      <c r="G30" s="11">
        <f t="shared" si="5"/>
        <v>1</v>
      </c>
      <c r="H30" s="11">
        <f t="shared" si="6"/>
        <v>2</v>
      </c>
      <c r="I30" s="11">
        <f t="shared" si="7"/>
        <v>3</v>
      </c>
    </row>
    <row r="31">
      <c r="A31" s="11" t="str">
        <f t="shared" ref="A31:D31" si="14">A11</f>
        <v>V9</v>
      </c>
      <c r="B31" s="11" t="str">
        <f t="shared" si="14"/>
        <v>Truk</v>
      </c>
      <c r="C31" s="11" t="str">
        <f t="shared" si="14"/>
        <v>Diesel</v>
      </c>
      <c r="D31" s="11" t="str">
        <f t="shared" si="14"/>
        <v>Barang</v>
      </c>
      <c r="E31" s="11">
        <f t="shared" si="3"/>
        <v>3</v>
      </c>
      <c r="F31" s="11">
        <f t="shared" si="4"/>
        <v>3</v>
      </c>
      <c r="G31" s="11">
        <f t="shared" si="5"/>
        <v>2</v>
      </c>
      <c r="H31" s="11">
        <f t="shared" si="6"/>
        <v>0</v>
      </c>
      <c r="I31" s="11">
        <f t="shared" si="7"/>
        <v>4</v>
      </c>
    </row>
    <row r="32">
      <c r="A32" s="11" t="str">
        <f t="shared" ref="A32:D32" si="15">A12</f>
        <v>V10</v>
      </c>
      <c r="B32" s="11" t="str">
        <f t="shared" si="15"/>
        <v>Bus</v>
      </c>
      <c r="C32" s="11" t="str">
        <f t="shared" si="15"/>
        <v>Diesel</v>
      </c>
      <c r="D32" s="11" t="str">
        <f t="shared" si="15"/>
        <v>Penumpang</v>
      </c>
      <c r="E32" s="11">
        <f t="shared" si="3"/>
        <v>2</v>
      </c>
      <c r="F32" s="11">
        <f t="shared" si="4"/>
        <v>2</v>
      </c>
      <c r="G32" s="11">
        <f t="shared" si="5"/>
        <v>1</v>
      </c>
      <c r="H32" s="11">
        <f t="shared" si="6"/>
        <v>2</v>
      </c>
      <c r="I32" s="11">
        <f t="shared" si="7"/>
        <v>3</v>
      </c>
    </row>
    <row r="33">
      <c r="A33" s="11" t="str">
        <f t="shared" ref="A33:D33" si="16">A13</f>
        <v/>
      </c>
      <c r="B33" s="11" t="str">
        <f t="shared" si="16"/>
        <v/>
      </c>
      <c r="C33" s="11" t="str">
        <f t="shared" si="16"/>
        <v/>
      </c>
      <c r="D33" s="11" t="str">
        <f t="shared" si="16"/>
        <v/>
      </c>
    </row>
    <row r="34">
      <c r="A34" s="6" t="s">
        <v>37</v>
      </c>
    </row>
    <row r="35">
      <c r="A35" s="12" t="s">
        <v>28</v>
      </c>
      <c r="B35" s="12" t="s">
        <v>38</v>
      </c>
      <c r="C35" s="12" t="s">
        <v>30</v>
      </c>
      <c r="D35" s="10" t="s">
        <v>31</v>
      </c>
      <c r="E35" s="10" t="s">
        <v>4</v>
      </c>
    </row>
    <row r="36">
      <c r="A36" s="5" t="s">
        <v>32</v>
      </c>
      <c r="B36" s="5" t="s">
        <v>39</v>
      </c>
      <c r="C36" s="5" t="s">
        <v>6</v>
      </c>
      <c r="D36" s="5" t="s">
        <v>7</v>
      </c>
      <c r="E36" s="5" t="s">
        <v>8</v>
      </c>
    </row>
    <row r="37">
      <c r="A37" s="5" t="s">
        <v>33</v>
      </c>
      <c r="B37" s="5" t="s">
        <v>40</v>
      </c>
      <c r="C37" s="5" t="s">
        <v>13</v>
      </c>
      <c r="D37" s="5" t="s">
        <v>14</v>
      </c>
      <c r="E37" s="5" t="s">
        <v>8</v>
      </c>
    </row>
    <row r="38">
      <c r="A38" s="5" t="s">
        <v>34</v>
      </c>
      <c r="B38" s="5" t="s">
        <v>41</v>
      </c>
      <c r="C38" s="5" t="s">
        <v>23</v>
      </c>
      <c r="D38" s="5" t="s">
        <v>18</v>
      </c>
      <c r="E38" s="5" t="s">
        <v>8</v>
      </c>
    </row>
    <row r="39">
      <c r="A39" s="5" t="s">
        <v>35</v>
      </c>
      <c r="B39" s="5" t="s">
        <v>42</v>
      </c>
      <c r="C39" s="5" t="s">
        <v>20</v>
      </c>
      <c r="D39" s="5" t="s">
        <v>18</v>
      </c>
      <c r="E39" s="5" t="s">
        <v>21</v>
      </c>
    </row>
    <row r="41">
      <c r="A41" s="6" t="s">
        <v>43</v>
      </c>
    </row>
    <row r="42">
      <c r="A42" s="10" t="s">
        <v>1</v>
      </c>
      <c r="B42" s="10" t="s">
        <v>2</v>
      </c>
      <c r="C42" s="10" t="s">
        <v>31</v>
      </c>
      <c r="D42" s="10" t="s">
        <v>4</v>
      </c>
      <c r="E42" s="10" t="s">
        <v>32</v>
      </c>
      <c r="F42" s="10" t="s">
        <v>33</v>
      </c>
      <c r="G42" s="10" t="s">
        <v>34</v>
      </c>
      <c r="H42" s="10" t="s">
        <v>35</v>
      </c>
      <c r="I42" s="10" t="s">
        <v>28</v>
      </c>
    </row>
    <row r="43">
      <c r="A43" s="11" t="str">
        <f t="shared" ref="A43:D43" si="17">A23</f>
        <v>V1</v>
      </c>
      <c r="B43" s="11" t="str">
        <f t="shared" si="17"/>
        <v>Mobil listrik</v>
      </c>
      <c r="C43" s="11" t="str">
        <f t="shared" si="17"/>
        <v>Listrik</v>
      </c>
      <c r="D43" s="11" t="str">
        <f t="shared" si="17"/>
        <v>Penumpang</v>
      </c>
      <c r="E43" s="11">
        <f t="shared" ref="E43:E52" si="19">IF(B43=$C$36,0,1)+IF(C43=$D$36,0,1)+IF(D43=$E$36,0,1)</f>
        <v>0</v>
      </c>
      <c r="F43" s="11">
        <f t="shared" ref="F43:F52" si="20">IF(B43=$C$37,0,1)+IF(C43=$D$37,0,1)+IF(D43=$E$37,0,1)</f>
        <v>2</v>
      </c>
      <c r="G43" s="11">
        <f t="shared" ref="G43:G52" si="21">IF(B43=$C$38,0,1)+IF(C43=$D$38,0,1)+IF(D43=$E$38,0,1)</f>
        <v>2</v>
      </c>
      <c r="H43" s="11">
        <f t="shared" ref="H43:H52" si="22">IF(B43=$C$39,0,1)+IF(C43=$D$39,0,1)+IF(D43=$E$39,0,1)</f>
        <v>3</v>
      </c>
      <c r="I43" s="11">
        <f t="shared" ref="I43:I52" si="23">MATCH(MIN(E43:H43),E43:H43,0)</f>
        <v>1</v>
      </c>
    </row>
    <row r="44">
      <c r="A44" s="11" t="str">
        <f t="shared" ref="A44:D44" si="18">A24</f>
        <v>V2</v>
      </c>
      <c r="B44" s="11" t="str">
        <f t="shared" si="18"/>
        <v>Mobil listrik</v>
      </c>
      <c r="C44" s="11" t="str">
        <f t="shared" si="18"/>
        <v>Listrik</v>
      </c>
      <c r="D44" s="11" t="str">
        <f t="shared" si="18"/>
        <v>Penumpang</v>
      </c>
      <c r="E44" s="11">
        <f t="shared" si="19"/>
        <v>0</v>
      </c>
      <c r="F44" s="11">
        <f t="shared" si="20"/>
        <v>2</v>
      </c>
      <c r="G44" s="11">
        <f t="shared" si="21"/>
        <v>2</v>
      </c>
      <c r="H44" s="11">
        <f t="shared" si="22"/>
        <v>3</v>
      </c>
      <c r="I44" s="11">
        <f t="shared" si="23"/>
        <v>1</v>
      </c>
    </row>
    <row r="45">
      <c r="A45" s="11" t="str">
        <f t="shared" ref="A45:D45" si="24">A25</f>
        <v>V3</v>
      </c>
      <c r="B45" s="11" t="str">
        <f t="shared" si="24"/>
        <v>Mobil Listrik</v>
      </c>
      <c r="C45" s="11" t="str">
        <f t="shared" si="24"/>
        <v>Listrik</v>
      </c>
      <c r="D45" s="11" t="str">
        <f t="shared" si="24"/>
        <v>Penumpang</v>
      </c>
      <c r="E45" s="11">
        <f t="shared" si="19"/>
        <v>0</v>
      </c>
      <c r="F45" s="11">
        <f t="shared" si="20"/>
        <v>2</v>
      </c>
      <c r="G45" s="11">
        <f t="shared" si="21"/>
        <v>2</v>
      </c>
      <c r="H45" s="11">
        <f t="shared" si="22"/>
        <v>3</v>
      </c>
      <c r="I45" s="11">
        <f t="shared" si="23"/>
        <v>1</v>
      </c>
    </row>
    <row r="46">
      <c r="A46" s="11" t="str">
        <f t="shared" ref="A46:D46" si="25">A26</f>
        <v>V4</v>
      </c>
      <c r="B46" s="11" t="str">
        <f t="shared" si="25"/>
        <v>Mobil konvensional</v>
      </c>
      <c r="C46" s="11" t="str">
        <f t="shared" si="25"/>
        <v>Bensin</v>
      </c>
      <c r="D46" s="11" t="str">
        <f t="shared" si="25"/>
        <v>Penumpang</v>
      </c>
      <c r="E46" s="11">
        <f t="shared" si="19"/>
        <v>2</v>
      </c>
      <c r="F46" s="11">
        <f t="shared" si="20"/>
        <v>0</v>
      </c>
      <c r="G46" s="11">
        <f t="shared" si="21"/>
        <v>2</v>
      </c>
      <c r="H46" s="11">
        <f t="shared" si="22"/>
        <v>3</v>
      </c>
      <c r="I46" s="11">
        <f t="shared" si="23"/>
        <v>2</v>
      </c>
    </row>
    <row r="47">
      <c r="A47" s="11" t="str">
        <f t="shared" ref="A47:D47" si="26">A27</f>
        <v>V5</v>
      </c>
      <c r="B47" s="11" t="str">
        <f t="shared" si="26"/>
        <v>Mobil konvensional</v>
      </c>
      <c r="C47" s="11" t="str">
        <f t="shared" si="26"/>
        <v>Bensin</v>
      </c>
      <c r="D47" s="11" t="str">
        <f t="shared" si="26"/>
        <v>Penumpang</v>
      </c>
      <c r="E47" s="11">
        <f t="shared" si="19"/>
        <v>2</v>
      </c>
      <c r="F47" s="11">
        <f t="shared" si="20"/>
        <v>0</v>
      </c>
      <c r="G47" s="11">
        <f t="shared" si="21"/>
        <v>2</v>
      </c>
      <c r="H47" s="11">
        <f t="shared" si="22"/>
        <v>3</v>
      </c>
      <c r="I47" s="11">
        <f t="shared" si="23"/>
        <v>2</v>
      </c>
    </row>
    <row r="48">
      <c r="A48" s="11" t="str">
        <f t="shared" ref="A48:D48" si="27">A28</f>
        <v>V6</v>
      </c>
      <c r="B48" s="11" t="str">
        <f t="shared" si="27"/>
        <v>Mobil diesel</v>
      </c>
      <c r="C48" s="11" t="str">
        <f t="shared" si="27"/>
        <v>Diesel</v>
      </c>
      <c r="D48" s="11" t="str">
        <f t="shared" si="27"/>
        <v>Penumpang</v>
      </c>
      <c r="E48" s="11">
        <f t="shared" si="19"/>
        <v>2</v>
      </c>
      <c r="F48" s="11">
        <f t="shared" si="20"/>
        <v>2</v>
      </c>
      <c r="G48" s="11">
        <f t="shared" si="21"/>
        <v>1</v>
      </c>
      <c r="H48" s="11">
        <f t="shared" si="22"/>
        <v>2</v>
      </c>
      <c r="I48" s="11">
        <f t="shared" si="23"/>
        <v>3</v>
      </c>
    </row>
    <row r="49">
      <c r="A49" s="11" t="str">
        <f t="shared" ref="A49:D49" si="28">A29</f>
        <v>V7</v>
      </c>
      <c r="B49" s="11" t="str">
        <f t="shared" si="28"/>
        <v>Truk</v>
      </c>
      <c r="C49" s="11" t="str">
        <f t="shared" si="28"/>
        <v>Diesel</v>
      </c>
      <c r="D49" s="11" t="str">
        <f t="shared" si="28"/>
        <v>Barang</v>
      </c>
      <c r="E49" s="11">
        <f t="shared" si="19"/>
        <v>3</v>
      </c>
      <c r="F49" s="11">
        <f t="shared" si="20"/>
        <v>3</v>
      </c>
      <c r="G49" s="11">
        <f t="shared" si="21"/>
        <v>2</v>
      </c>
      <c r="H49" s="11">
        <f t="shared" si="22"/>
        <v>0</v>
      </c>
      <c r="I49" s="11">
        <f t="shared" si="23"/>
        <v>4</v>
      </c>
    </row>
    <row r="50">
      <c r="A50" s="11" t="str">
        <f t="shared" ref="A50:D50" si="29">A30</f>
        <v>V8</v>
      </c>
      <c r="B50" s="11" t="str">
        <f t="shared" si="29"/>
        <v>Bus</v>
      </c>
      <c r="C50" s="11" t="str">
        <f t="shared" si="29"/>
        <v>Diesel</v>
      </c>
      <c r="D50" s="11" t="str">
        <f t="shared" si="29"/>
        <v>Penumpang</v>
      </c>
      <c r="E50" s="11">
        <f t="shared" si="19"/>
        <v>2</v>
      </c>
      <c r="F50" s="11">
        <f t="shared" si="20"/>
        <v>2</v>
      </c>
      <c r="G50" s="11">
        <f t="shared" si="21"/>
        <v>0</v>
      </c>
      <c r="H50" s="11">
        <f t="shared" si="22"/>
        <v>2</v>
      </c>
      <c r="I50" s="11">
        <f t="shared" si="23"/>
        <v>3</v>
      </c>
    </row>
    <row r="51">
      <c r="A51" s="11" t="str">
        <f t="shared" ref="A51:D51" si="30">A31</f>
        <v>V9</v>
      </c>
      <c r="B51" s="11" t="str">
        <f t="shared" si="30"/>
        <v>Truk</v>
      </c>
      <c r="C51" s="11" t="str">
        <f t="shared" si="30"/>
        <v>Diesel</v>
      </c>
      <c r="D51" s="11" t="str">
        <f t="shared" si="30"/>
        <v>Barang</v>
      </c>
      <c r="E51" s="11">
        <f t="shared" si="19"/>
        <v>3</v>
      </c>
      <c r="F51" s="11">
        <f t="shared" si="20"/>
        <v>3</v>
      </c>
      <c r="G51" s="11">
        <f t="shared" si="21"/>
        <v>2</v>
      </c>
      <c r="H51" s="11">
        <f t="shared" si="22"/>
        <v>0</v>
      </c>
      <c r="I51" s="11">
        <f t="shared" si="23"/>
        <v>4</v>
      </c>
    </row>
    <row r="52">
      <c r="A52" s="11" t="str">
        <f t="shared" ref="A52:D52" si="31">A32</f>
        <v>V10</v>
      </c>
      <c r="B52" s="11" t="str">
        <f t="shared" si="31"/>
        <v>Bus</v>
      </c>
      <c r="C52" s="11" t="str">
        <f t="shared" si="31"/>
        <v>Diesel</v>
      </c>
      <c r="D52" s="11" t="str">
        <f t="shared" si="31"/>
        <v>Penumpang</v>
      </c>
      <c r="E52" s="11">
        <f t="shared" si="19"/>
        <v>2</v>
      </c>
      <c r="F52" s="11">
        <f t="shared" si="20"/>
        <v>2</v>
      </c>
      <c r="G52" s="11">
        <f t="shared" si="21"/>
        <v>0</v>
      </c>
      <c r="H52" s="11">
        <f t="shared" si="22"/>
        <v>2</v>
      </c>
      <c r="I52" s="11">
        <f t="shared" si="23"/>
        <v>3</v>
      </c>
    </row>
    <row r="55">
      <c r="A55" s="6" t="s">
        <v>44</v>
      </c>
    </row>
    <row r="56">
      <c r="A56" s="13" t="s">
        <v>45</v>
      </c>
    </row>
    <row r="57">
      <c r="A57" s="13" t="s">
        <v>46</v>
      </c>
    </row>
    <row r="58">
      <c r="A58" s="13" t="s">
        <v>47</v>
      </c>
    </row>
    <row r="59">
      <c r="A59" s="14"/>
      <c r="B59" s="15"/>
      <c r="C59" s="15"/>
    </row>
    <row r="60">
      <c r="A60" s="16"/>
    </row>
    <row r="61">
      <c r="A61" s="17"/>
    </row>
    <row r="62">
      <c r="A62" s="16"/>
    </row>
    <row r="63">
      <c r="A63" s="18"/>
    </row>
    <row r="64">
      <c r="A64" s="16"/>
    </row>
    <row r="65">
      <c r="A65" s="18"/>
    </row>
    <row r="66">
      <c r="A66" s="16"/>
    </row>
  </sheetData>
  <mergeCells count="9">
    <mergeCell ref="A1:D1"/>
    <mergeCell ref="A21:I21"/>
    <mergeCell ref="B14:E14"/>
    <mergeCell ref="A57:I57"/>
    <mergeCell ref="A58:I58"/>
    <mergeCell ref="A41:I41"/>
    <mergeCell ref="A34:E34"/>
    <mergeCell ref="A55:I55"/>
    <mergeCell ref="A56:I56"/>
  </mergeCells>
  <drawing r:id="rId1"/>
</worksheet>
</file>